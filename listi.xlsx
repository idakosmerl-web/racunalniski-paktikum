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\rp\racunalniski-praktikum\"/>
    </mc:Choice>
  </mc:AlternateContent>
  <xr:revisionPtr revIDLastSave="0" documentId="13_ncr:1_{F5EAA115-B894-4123-95E2-0DB3F2024503}" xr6:coauthVersionLast="47" xr6:coauthVersionMax="47" xr10:uidLastSave="{00000000-0000-0000-0000-000000000000}"/>
  <bookViews>
    <workbookView xWindow="-96" yWindow="0" windowWidth="13128" windowHeight="12336" activeTab="3" xr2:uid="{39E16BA2-578A-4628-A4C4-7A1466D68814}"/>
  </bookViews>
  <sheets>
    <sheet name="obresti" sheetId="1" r:id="rId1"/>
    <sheet name="barva" sheetId="2" r:id="rId2"/>
    <sheet name="množenje" sheetId="3" r:id="rId3"/>
    <sheet name="padavine" sheetId="4" r:id="rId4"/>
  </sheets>
  <definedNames>
    <definedName name="Delež1">padavine!$B$3:$G$3</definedName>
    <definedName name="Delež2">padavine!$B$7:$G$7</definedName>
    <definedName name="padavine1">padavine!$B$2:$G$2</definedName>
    <definedName name="Padavine2">padavine!$B$6:$G$6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D7" i="4"/>
  <c r="E7" i="4"/>
  <c r="F7" i="4"/>
  <c r="G7" i="4"/>
  <c r="B7" i="4"/>
  <c r="B3" i="4"/>
  <c r="C3" i="4"/>
  <c r="D3" i="4"/>
  <c r="E3" i="4"/>
  <c r="F3" i="4"/>
  <c r="G3" i="4"/>
  <c r="F9" i="4"/>
  <c r="B9" i="4"/>
  <c r="F10" i="4"/>
  <c r="F11" i="4" s="1"/>
  <c r="C4" i="3"/>
  <c r="D4" i="3"/>
  <c r="E4" i="3"/>
  <c r="F4" i="3"/>
  <c r="G4" i="3"/>
  <c r="H4" i="3"/>
  <c r="I4" i="3"/>
  <c r="J4" i="3"/>
  <c r="K4" i="3"/>
  <c r="L4" i="3"/>
  <c r="C5" i="3"/>
  <c r="D5" i="3"/>
  <c r="E5" i="3"/>
  <c r="F5" i="3"/>
  <c r="G5" i="3"/>
  <c r="H5" i="3"/>
  <c r="I5" i="3"/>
  <c r="J5" i="3"/>
  <c r="K5" i="3"/>
  <c r="L5" i="3"/>
  <c r="C6" i="3"/>
  <c r="D6" i="3"/>
  <c r="E6" i="3"/>
  <c r="F6" i="3"/>
  <c r="G6" i="3"/>
  <c r="H6" i="3"/>
  <c r="I6" i="3"/>
  <c r="J6" i="3"/>
  <c r="K6" i="3"/>
  <c r="L6" i="3"/>
  <c r="C7" i="3"/>
  <c r="D7" i="3"/>
  <c r="E7" i="3"/>
  <c r="F7" i="3"/>
  <c r="G7" i="3"/>
  <c r="H7" i="3"/>
  <c r="I7" i="3"/>
  <c r="J7" i="3"/>
  <c r="K7" i="3"/>
  <c r="L7" i="3"/>
  <c r="C8" i="3"/>
  <c r="D8" i="3"/>
  <c r="E8" i="3"/>
  <c r="F8" i="3"/>
  <c r="G8" i="3"/>
  <c r="H8" i="3"/>
  <c r="I8" i="3"/>
  <c r="J8" i="3"/>
  <c r="K8" i="3"/>
  <c r="L8" i="3"/>
  <c r="C9" i="3"/>
  <c r="D9" i="3"/>
  <c r="E9" i="3"/>
  <c r="F9" i="3"/>
  <c r="G9" i="3"/>
  <c r="H9" i="3"/>
  <c r="I9" i="3"/>
  <c r="J9" i="3"/>
  <c r="K9" i="3"/>
  <c r="L9" i="3"/>
  <c r="C10" i="3"/>
  <c r="D10" i="3"/>
  <c r="E10" i="3"/>
  <c r="F10" i="3"/>
  <c r="G10" i="3"/>
  <c r="H10" i="3"/>
  <c r="I10" i="3"/>
  <c r="J10" i="3"/>
  <c r="K10" i="3"/>
  <c r="L10" i="3"/>
  <c r="C11" i="3"/>
  <c r="D11" i="3"/>
  <c r="E11" i="3"/>
  <c r="F11" i="3"/>
  <c r="G11" i="3"/>
  <c r="H11" i="3"/>
  <c r="I11" i="3"/>
  <c r="J11" i="3"/>
  <c r="K11" i="3"/>
  <c r="L11" i="3"/>
  <c r="C12" i="3"/>
  <c r="D12" i="3"/>
  <c r="E12" i="3"/>
  <c r="F12" i="3"/>
  <c r="G12" i="3"/>
  <c r="H12" i="3"/>
  <c r="I12" i="3"/>
  <c r="J12" i="3"/>
  <c r="K12" i="3"/>
  <c r="L12" i="3"/>
  <c r="D3" i="3"/>
  <c r="E3" i="3"/>
  <c r="F3" i="3"/>
  <c r="G3" i="3"/>
  <c r="H3" i="3"/>
  <c r="I3" i="3"/>
  <c r="J3" i="3"/>
  <c r="K3" i="3"/>
  <c r="L3" i="3"/>
  <c r="C3" i="3"/>
  <c r="D2" i="3"/>
  <c r="E2" i="3"/>
  <c r="F2" i="3"/>
  <c r="G2" i="3"/>
  <c r="H2" i="3"/>
  <c r="I2" i="3"/>
  <c r="J2" i="3"/>
  <c r="K2" i="3"/>
  <c r="L2" i="3" s="1"/>
  <c r="B4" i="3"/>
  <c r="B5" i="3"/>
  <c r="B6" i="3"/>
  <c r="B7" i="3"/>
  <c r="B8" i="3"/>
  <c r="B9" i="3"/>
  <c r="B10" i="3"/>
  <c r="B11" i="3"/>
  <c r="B12" i="3" s="1"/>
  <c r="B3" i="3"/>
  <c r="C2" i="3"/>
  <c r="C9" i="2"/>
  <c r="C3" i="2"/>
  <c r="B16" i="1"/>
  <c r="B17" i="1"/>
  <c r="B18" i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3" i="1"/>
</calcChain>
</file>

<file path=xl/sharedStrings.xml><?xml version="1.0" encoding="utf-8"?>
<sst xmlns="http://schemas.openxmlformats.org/spreadsheetml/2006/main" count="34" uniqueCount="31">
  <si>
    <t>Leto</t>
  </si>
  <si>
    <t xml:space="preserve"> Stanje</t>
  </si>
  <si>
    <t>Širina sobe</t>
  </si>
  <si>
    <t>Dolžina sobe</t>
  </si>
  <si>
    <t>Višina sobe</t>
  </si>
  <si>
    <t>Cena barve za kg</t>
  </si>
  <si>
    <t>Mesec</t>
  </si>
  <si>
    <t xml:space="preserve"> jan</t>
  </si>
  <si>
    <t xml:space="preserve"> feb</t>
  </si>
  <si>
    <t xml:space="preserve"> mar</t>
  </si>
  <si>
    <t xml:space="preserve"> apr</t>
  </si>
  <si>
    <t xml:space="preserve"> maj</t>
  </si>
  <si>
    <t xml:space="preserve"> jun</t>
  </si>
  <si>
    <t>Padavine</t>
  </si>
  <si>
    <t>Delež</t>
  </si>
  <si>
    <t xml:space="preserve"> jul</t>
  </si>
  <si>
    <t xml:space="preserve"> avg</t>
  </si>
  <si>
    <t xml:space="preserve"> sep</t>
  </si>
  <si>
    <t xml:space="preserve"> okt</t>
  </si>
  <si>
    <t xml:space="preserve"> nov</t>
  </si>
  <si>
    <t xml:space="preserve"> dec</t>
  </si>
  <si>
    <t>Letna količina</t>
  </si>
  <si>
    <t>Največja mesečna količina</t>
  </si>
  <si>
    <t>Najmanjša mesečna količina</t>
  </si>
  <si>
    <t>Povprečna mesečna količina</t>
  </si>
  <si>
    <t>Barvanje sobe</t>
  </si>
  <si>
    <t>datum:</t>
  </si>
  <si>
    <t>površina</t>
  </si>
  <si>
    <t>cena barve</t>
  </si>
  <si>
    <r>
      <t>Količina barve za m</t>
    </r>
    <r>
      <rPr>
        <vertAlign val="superscript"/>
        <sz val="11"/>
        <color theme="1"/>
        <rFont val="Aptos Narrow"/>
        <family val="2"/>
        <scheme val="minor"/>
      </rPr>
      <t>2</t>
    </r>
  </si>
  <si>
    <t>C9 * 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</si>
</sst>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 &quot;m&quot;"/>
    <numFmt numFmtId="165" formatCode="0.00\ &quot;kg&quot;"/>
    <numFmt numFmtId="166" formatCode="0.00\ &quot;$&quot;"/>
  </numFmts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0" fontId="0" fillId="0" borderId="0" xfId="1" applyNumberFormat="1" applyFont="1"/>
  </cellXfs>
  <cellStyles count="2">
    <cellStyle name="Navadno" xfId="0" builtinId="0"/>
    <cellStyle name="Odstote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(padavine!$B$2,padavine!$B$6)</c:f>
              <c:numCache>
                <c:formatCode>General</c:formatCode>
                <c:ptCount val="2"/>
                <c:pt idx="0">
                  <c:v>120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B-40FE-9871-1EE6EC9AAA6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(padavine!$C$2,padavine!$C$6)</c:f>
              <c:numCache>
                <c:formatCode>General</c:formatCode>
                <c:ptCount val="2"/>
                <c:pt idx="0">
                  <c:v>45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BB-40FE-9871-1EE6EC9AAA6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(padavine!$D$2,padavine!$D$6)</c:f>
              <c:numCache>
                <c:formatCode>General</c:formatCode>
                <c:ptCount val="2"/>
                <c:pt idx="0">
                  <c:v>60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BB-40FE-9871-1EE6EC9AAA6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(padavine!$E$2,padavine!$E$6)</c:f>
              <c:numCache>
                <c:formatCode>General</c:formatCode>
                <c:ptCount val="2"/>
                <c:pt idx="0">
                  <c:v>210</c:v>
                </c:pt>
                <c:pt idx="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BB-40FE-9871-1EE6EC9AAA6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(padavine!$F$2,padavine!$F$6)</c:f>
              <c:numCache>
                <c:formatCode>General</c:formatCode>
                <c:ptCount val="2"/>
                <c:pt idx="0">
                  <c:v>160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BB-40FE-9871-1EE6EC9AAA64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(padavine!$G$2,padavine!$G$6)</c:f>
              <c:numCache>
                <c:formatCode>General</c:formatCode>
                <c:ptCount val="2"/>
                <c:pt idx="0">
                  <c:v>35</c:v>
                </c:pt>
                <c:pt idx="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BB-40FE-9871-1EE6EC9AAA64}"/>
            </c:ext>
          </c:extLst>
        </c:ser>
        <c:ser>
          <c:idx val="6"/>
          <c:order val="6"/>
          <c:tx>
            <c:strRef>
              <c:f>padavine!$B$5:$G$5</c:f>
              <c:strCache>
                <c:ptCount val="1"/>
                <c:pt idx="0">
                  <c:v> jul  avg  sep  okt  nov  dec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6-4BBB-40FE-9871-1EE6EC9AA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116272"/>
        <c:axId val="1263133072"/>
      </c:barChart>
      <c:catAx>
        <c:axId val="1263116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263133072"/>
        <c:crosses val="autoZero"/>
        <c:auto val="1"/>
        <c:lblAlgn val="ctr"/>
        <c:lblOffset val="100"/>
        <c:noMultiLvlLbl val="0"/>
      </c:catAx>
      <c:valAx>
        <c:axId val="126313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26311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6</xdr:row>
      <xdr:rowOff>34290</xdr:rowOff>
    </xdr:from>
    <xdr:to>
      <xdr:col>11</xdr:col>
      <xdr:colOff>60960</xdr:colOff>
      <xdr:row>21</xdr:row>
      <xdr:rowOff>34290</xdr:rowOff>
    </xdr:to>
    <xdr:graphicFrame macro="">
      <xdr:nvGraphicFramePr>
        <xdr:cNvPr id="5" name="Grafikon 4">
          <a:extLst>
            <a:ext uri="{FF2B5EF4-FFF2-40B4-BE49-F238E27FC236}">
              <a16:creationId xmlns:a16="http://schemas.microsoft.com/office/drawing/2014/main" id="{A9785FEB-D09D-D27E-8793-8F5352789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93D2-CC91-458E-91F3-05B294DBA301}">
  <dimension ref="A1:B37"/>
  <sheetViews>
    <sheetView workbookViewId="0">
      <selection activeCell="A3" sqref="A3:B3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1972</v>
      </c>
      <c r="B2">
        <v>123.43</v>
      </c>
    </row>
    <row r="3" spans="1:2" x14ac:dyDescent="0.3">
      <c r="A3">
        <v>1973</v>
      </c>
      <c r="B3">
        <f>ROUND(B2*1.0475,2)</f>
        <v>129.29</v>
      </c>
    </row>
    <row r="4" spans="1:2" x14ac:dyDescent="0.3">
      <c r="A4">
        <v>1974</v>
      </c>
      <c r="B4">
        <f t="shared" ref="B4:B16" si="0">ROUND(B3*1.0475,2)</f>
        <v>135.43</v>
      </c>
    </row>
    <row r="5" spans="1:2" x14ac:dyDescent="0.3">
      <c r="A5">
        <v>1975</v>
      </c>
      <c r="B5">
        <f t="shared" si="0"/>
        <v>141.86000000000001</v>
      </c>
    </row>
    <row r="6" spans="1:2" x14ac:dyDescent="0.3">
      <c r="A6">
        <v>1976</v>
      </c>
      <c r="B6">
        <f t="shared" si="0"/>
        <v>148.6</v>
      </c>
    </row>
    <row r="7" spans="1:2" x14ac:dyDescent="0.3">
      <c r="A7">
        <v>1977</v>
      </c>
      <c r="B7">
        <f t="shared" si="0"/>
        <v>155.66</v>
      </c>
    </row>
    <row r="8" spans="1:2" x14ac:dyDescent="0.3">
      <c r="A8">
        <v>1978</v>
      </c>
      <c r="B8">
        <f t="shared" si="0"/>
        <v>163.05000000000001</v>
      </c>
    </row>
    <row r="9" spans="1:2" x14ac:dyDescent="0.3">
      <c r="A9">
        <v>1979</v>
      </c>
      <c r="B9">
        <f t="shared" si="0"/>
        <v>170.79</v>
      </c>
    </row>
    <row r="10" spans="1:2" x14ac:dyDescent="0.3">
      <c r="A10">
        <v>1980</v>
      </c>
      <c r="B10">
        <f t="shared" si="0"/>
        <v>178.9</v>
      </c>
    </row>
    <row r="11" spans="1:2" x14ac:dyDescent="0.3">
      <c r="A11">
        <v>1981</v>
      </c>
      <c r="B11">
        <f t="shared" si="0"/>
        <v>187.4</v>
      </c>
    </row>
    <row r="12" spans="1:2" x14ac:dyDescent="0.3">
      <c r="A12">
        <v>1982</v>
      </c>
      <c r="B12">
        <f t="shared" si="0"/>
        <v>196.3</v>
      </c>
    </row>
    <row r="13" spans="1:2" x14ac:dyDescent="0.3">
      <c r="A13">
        <v>1983</v>
      </c>
      <c r="B13">
        <f t="shared" si="0"/>
        <v>205.62</v>
      </c>
    </row>
    <row r="14" spans="1:2" x14ac:dyDescent="0.3">
      <c r="A14">
        <v>1984</v>
      </c>
      <c r="B14">
        <f t="shared" si="0"/>
        <v>215.39</v>
      </c>
    </row>
    <row r="15" spans="1:2" x14ac:dyDescent="0.3">
      <c r="A15">
        <v>1985</v>
      </c>
      <c r="B15">
        <f t="shared" si="0"/>
        <v>225.62</v>
      </c>
    </row>
    <row r="16" spans="1:2" x14ac:dyDescent="0.3">
      <c r="A16">
        <v>1986</v>
      </c>
      <c r="B16">
        <f t="shared" si="0"/>
        <v>236.34</v>
      </c>
    </row>
    <row r="17" spans="1:2" x14ac:dyDescent="0.3">
      <c r="A17">
        <v>1987</v>
      </c>
      <c r="B17">
        <f t="shared" ref="B17:B37" si="1">ROUND(B16*1.0475,2)</f>
        <v>247.57</v>
      </c>
    </row>
    <row r="18" spans="1:2" x14ac:dyDescent="0.3">
      <c r="A18">
        <v>1988</v>
      </c>
      <c r="B18">
        <f t="shared" si="1"/>
        <v>259.33</v>
      </c>
    </row>
    <row r="19" spans="1:2" x14ac:dyDescent="0.3">
      <c r="A19">
        <v>1989</v>
      </c>
      <c r="B19">
        <f t="shared" si="1"/>
        <v>271.64999999999998</v>
      </c>
    </row>
    <row r="20" spans="1:2" x14ac:dyDescent="0.3">
      <c r="A20">
        <v>1990</v>
      </c>
      <c r="B20">
        <f t="shared" si="1"/>
        <v>284.55</v>
      </c>
    </row>
    <row r="21" spans="1:2" x14ac:dyDescent="0.3">
      <c r="A21">
        <v>1991</v>
      </c>
      <c r="B21">
        <f t="shared" si="1"/>
        <v>298.07</v>
      </c>
    </row>
    <row r="22" spans="1:2" x14ac:dyDescent="0.3">
      <c r="A22">
        <v>1992</v>
      </c>
      <c r="B22">
        <f t="shared" si="1"/>
        <v>312.23</v>
      </c>
    </row>
    <row r="23" spans="1:2" x14ac:dyDescent="0.3">
      <c r="A23">
        <v>1993</v>
      </c>
      <c r="B23">
        <f t="shared" si="1"/>
        <v>327.06</v>
      </c>
    </row>
    <row r="24" spans="1:2" x14ac:dyDescent="0.3">
      <c r="A24">
        <v>1994</v>
      </c>
      <c r="B24">
        <f t="shared" si="1"/>
        <v>342.6</v>
      </c>
    </row>
    <row r="25" spans="1:2" x14ac:dyDescent="0.3">
      <c r="A25">
        <v>1995</v>
      </c>
      <c r="B25">
        <f t="shared" si="1"/>
        <v>358.87</v>
      </c>
    </row>
    <row r="26" spans="1:2" x14ac:dyDescent="0.3">
      <c r="A26">
        <v>1996</v>
      </c>
      <c r="B26">
        <f t="shared" si="1"/>
        <v>375.92</v>
      </c>
    </row>
    <row r="27" spans="1:2" x14ac:dyDescent="0.3">
      <c r="A27">
        <v>1997</v>
      </c>
      <c r="B27">
        <f t="shared" si="1"/>
        <v>393.78</v>
      </c>
    </row>
    <row r="28" spans="1:2" x14ac:dyDescent="0.3">
      <c r="A28">
        <v>1998</v>
      </c>
      <c r="B28">
        <f t="shared" si="1"/>
        <v>412.48</v>
      </c>
    </row>
    <row r="29" spans="1:2" x14ac:dyDescent="0.3">
      <c r="A29">
        <v>1999</v>
      </c>
      <c r="B29">
        <f t="shared" si="1"/>
        <v>432.07</v>
      </c>
    </row>
    <row r="30" spans="1:2" x14ac:dyDescent="0.3">
      <c r="A30">
        <v>2000</v>
      </c>
      <c r="B30">
        <f t="shared" si="1"/>
        <v>452.59</v>
      </c>
    </row>
    <row r="31" spans="1:2" x14ac:dyDescent="0.3">
      <c r="A31">
        <v>2001</v>
      </c>
      <c r="B31">
        <f t="shared" si="1"/>
        <v>474.09</v>
      </c>
    </row>
    <row r="32" spans="1:2" x14ac:dyDescent="0.3">
      <c r="A32">
        <v>2002</v>
      </c>
      <c r="B32">
        <f t="shared" si="1"/>
        <v>496.61</v>
      </c>
    </row>
    <row r="33" spans="1:2" x14ac:dyDescent="0.3">
      <c r="A33">
        <v>2003</v>
      </c>
      <c r="B33">
        <f t="shared" si="1"/>
        <v>520.20000000000005</v>
      </c>
    </row>
    <row r="34" spans="1:2" x14ac:dyDescent="0.3">
      <c r="A34">
        <v>2004</v>
      </c>
      <c r="B34">
        <f t="shared" si="1"/>
        <v>544.91</v>
      </c>
    </row>
    <row r="35" spans="1:2" x14ac:dyDescent="0.3">
      <c r="A35">
        <v>2005</v>
      </c>
      <c r="B35">
        <f t="shared" si="1"/>
        <v>570.79</v>
      </c>
    </row>
    <row r="36" spans="1:2" x14ac:dyDescent="0.3">
      <c r="A36">
        <v>2006</v>
      </c>
      <c r="B36">
        <f t="shared" si="1"/>
        <v>597.9</v>
      </c>
    </row>
    <row r="37" spans="1:2" x14ac:dyDescent="0.3">
      <c r="A37">
        <v>2007</v>
      </c>
      <c r="B37">
        <f t="shared" si="1"/>
        <v>626.29999999999995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4A02-DA81-40BA-B6C0-80FB04BBE8B6}">
  <dimension ref="B2:C13"/>
  <sheetViews>
    <sheetView workbookViewId="0">
      <selection activeCell="C11" sqref="C11"/>
    </sheetView>
  </sheetViews>
  <sheetFormatPr defaultRowHeight="14.4" outlineLevelRow="2" x14ac:dyDescent="0.3"/>
  <cols>
    <col min="1" max="1" width="3.33203125" customWidth="1"/>
    <col min="2" max="2" width="20" customWidth="1"/>
    <col min="3" max="3" width="10.109375" bestFit="1" customWidth="1"/>
  </cols>
  <sheetData>
    <row r="2" spans="2:3" outlineLevel="2" x14ac:dyDescent="0.3">
      <c r="B2" s="3" t="s">
        <v>25</v>
      </c>
      <c r="C2" s="2"/>
    </row>
    <row r="3" spans="2:3" x14ac:dyDescent="0.3">
      <c r="B3" t="s">
        <v>26</v>
      </c>
      <c r="C3" s="1">
        <f ca="1">TODAY()</f>
        <v>46004</v>
      </c>
    </row>
    <row r="4" spans="2:3" x14ac:dyDescent="0.3">
      <c r="B4" t="s">
        <v>2</v>
      </c>
      <c r="C4" s="5">
        <v>4.1500000000000004</v>
      </c>
    </row>
    <row r="5" spans="2:3" x14ac:dyDescent="0.3">
      <c r="B5" t="s">
        <v>3</v>
      </c>
      <c r="C5" s="5">
        <v>3.3</v>
      </c>
    </row>
    <row r="6" spans="2:3" x14ac:dyDescent="0.3">
      <c r="B6" t="s">
        <v>4</v>
      </c>
      <c r="C6" s="5">
        <v>2.65</v>
      </c>
    </row>
    <row r="7" spans="2:3" ht="16.2" x14ac:dyDescent="0.3">
      <c r="B7" t="s">
        <v>29</v>
      </c>
      <c r="C7" s="6">
        <v>0.5</v>
      </c>
    </row>
    <row r="8" spans="2:3" x14ac:dyDescent="0.3">
      <c r="B8" t="s">
        <v>5</v>
      </c>
      <c r="C8" s="7">
        <v>1.1000000000000001</v>
      </c>
    </row>
    <row r="9" spans="2:3" x14ac:dyDescent="0.3">
      <c r="B9" s="4" t="s">
        <v>27</v>
      </c>
      <c r="C9">
        <f>C4*C5 + 2*C6*4 + 2*C5*C6</f>
        <v>52.384999999999991</v>
      </c>
    </row>
    <row r="10" spans="2:3" x14ac:dyDescent="0.3">
      <c r="B10" s="4" t="s">
        <v>28</v>
      </c>
      <c r="C10" t="s">
        <v>30</v>
      </c>
    </row>
    <row r="13" spans="2:3" x14ac:dyDescent="0.3">
      <c r="C1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B146-74A8-4C7F-A0D6-1625D06B9113}">
  <dimension ref="B2:L12"/>
  <sheetViews>
    <sheetView topLeftCell="B1" workbookViewId="0">
      <selection activeCell="C3" sqref="C3:L12"/>
    </sheetView>
  </sheetViews>
  <sheetFormatPr defaultRowHeight="14.4" x14ac:dyDescent="0.3"/>
  <cols>
    <col min="1" max="1" width="25.109375" customWidth="1"/>
  </cols>
  <sheetData>
    <row r="2" spans="2:12" x14ac:dyDescent="0.3">
      <c r="B2">
        <v>0</v>
      </c>
      <c r="C2">
        <f>B2+1</f>
        <v>1</v>
      </c>
      <c r="D2">
        <f t="shared" ref="D2:L2" si="0">C2+1</f>
        <v>2</v>
      </c>
      <c r="E2">
        <f t="shared" si="0"/>
        <v>3</v>
      </c>
      <c r="F2">
        <f t="shared" si="0"/>
        <v>4</v>
      </c>
      <c r="G2">
        <f t="shared" si="0"/>
        <v>5</v>
      </c>
      <c r="H2">
        <f t="shared" si="0"/>
        <v>6</v>
      </c>
      <c r="I2">
        <f t="shared" si="0"/>
        <v>7</v>
      </c>
      <c r="J2">
        <f t="shared" si="0"/>
        <v>8</v>
      </c>
      <c r="K2">
        <f t="shared" si="0"/>
        <v>9</v>
      </c>
      <c r="L2">
        <f t="shared" si="0"/>
        <v>10</v>
      </c>
    </row>
    <row r="3" spans="2:12" x14ac:dyDescent="0.3">
      <c r="B3">
        <f>B2+1</f>
        <v>1</v>
      </c>
      <c r="C3">
        <f>$B3 * C$2</f>
        <v>1</v>
      </c>
      <c r="D3">
        <f t="shared" ref="D3:L12" si="1">$B3 * D$2</f>
        <v>2</v>
      </c>
      <c r="E3">
        <f t="shared" si="1"/>
        <v>3</v>
      </c>
      <c r="F3">
        <f t="shared" si="1"/>
        <v>4</v>
      </c>
      <c r="G3">
        <f t="shared" si="1"/>
        <v>5</v>
      </c>
      <c r="H3">
        <f t="shared" si="1"/>
        <v>6</v>
      </c>
      <c r="I3">
        <f t="shared" si="1"/>
        <v>7</v>
      </c>
      <c r="J3">
        <f t="shared" si="1"/>
        <v>8</v>
      </c>
      <c r="K3">
        <f t="shared" si="1"/>
        <v>9</v>
      </c>
      <c r="L3">
        <f t="shared" si="1"/>
        <v>10</v>
      </c>
    </row>
    <row r="4" spans="2:12" x14ac:dyDescent="0.3">
      <c r="B4">
        <f t="shared" ref="B4:B13" si="2">B3+1</f>
        <v>2</v>
      </c>
      <c r="C4">
        <f t="shared" ref="C4:C12" si="3">$B4 * C$2</f>
        <v>2</v>
      </c>
      <c r="D4">
        <f t="shared" si="1"/>
        <v>4</v>
      </c>
      <c r="E4">
        <f t="shared" si="1"/>
        <v>6</v>
      </c>
      <c r="F4">
        <f t="shared" si="1"/>
        <v>8</v>
      </c>
      <c r="G4">
        <f t="shared" si="1"/>
        <v>10</v>
      </c>
      <c r="H4">
        <f t="shared" si="1"/>
        <v>12</v>
      </c>
      <c r="I4">
        <f t="shared" si="1"/>
        <v>14</v>
      </c>
      <c r="J4">
        <f t="shared" si="1"/>
        <v>16</v>
      </c>
      <c r="K4">
        <f t="shared" si="1"/>
        <v>18</v>
      </c>
      <c r="L4">
        <f t="shared" si="1"/>
        <v>20</v>
      </c>
    </row>
    <row r="5" spans="2:12" x14ac:dyDescent="0.3">
      <c r="B5">
        <f t="shared" si="2"/>
        <v>3</v>
      </c>
      <c r="C5">
        <f t="shared" si="3"/>
        <v>3</v>
      </c>
      <c r="D5">
        <f t="shared" si="1"/>
        <v>6</v>
      </c>
      <c r="E5">
        <f t="shared" si="1"/>
        <v>9</v>
      </c>
      <c r="F5">
        <f t="shared" si="1"/>
        <v>12</v>
      </c>
      <c r="G5">
        <f t="shared" si="1"/>
        <v>15</v>
      </c>
      <c r="H5">
        <f t="shared" si="1"/>
        <v>18</v>
      </c>
      <c r="I5">
        <f t="shared" si="1"/>
        <v>21</v>
      </c>
      <c r="J5">
        <f t="shared" si="1"/>
        <v>24</v>
      </c>
      <c r="K5">
        <f t="shared" si="1"/>
        <v>27</v>
      </c>
      <c r="L5">
        <f t="shared" si="1"/>
        <v>30</v>
      </c>
    </row>
    <row r="6" spans="2:12" x14ac:dyDescent="0.3">
      <c r="B6">
        <f t="shared" si="2"/>
        <v>4</v>
      </c>
      <c r="C6">
        <f t="shared" si="3"/>
        <v>4</v>
      </c>
      <c r="D6">
        <f t="shared" si="1"/>
        <v>8</v>
      </c>
      <c r="E6">
        <f t="shared" si="1"/>
        <v>12</v>
      </c>
      <c r="F6">
        <f t="shared" si="1"/>
        <v>16</v>
      </c>
      <c r="G6">
        <f t="shared" si="1"/>
        <v>20</v>
      </c>
      <c r="H6">
        <f t="shared" si="1"/>
        <v>24</v>
      </c>
      <c r="I6">
        <f t="shared" si="1"/>
        <v>28</v>
      </c>
      <c r="J6">
        <f t="shared" si="1"/>
        <v>32</v>
      </c>
      <c r="K6">
        <f t="shared" si="1"/>
        <v>36</v>
      </c>
      <c r="L6">
        <f t="shared" si="1"/>
        <v>40</v>
      </c>
    </row>
    <row r="7" spans="2:12" x14ac:dyDescent="0.3">
      <c r="B7">
        <f t="shared" si="2"/>
        <v>5</v>
      </c>
      <c r="C7">
        <f t="shared" si="3"/>
        <v>5</v>
      </c>
      <c r="D7">
        <f t="shared" si="1"/>
        <v>10</v>
      </c>
      <c r="E7">
        <f t="shared" si="1"/>
        <v>15</v>
      </c>
      <c r="F7">
        <f t="shared" si="1"/>
        <v>20</v>
      </c>
      <c r="G7">
        <f t="shared" si="1"/>
        <v>25</v>
      </c>
      <c r="H7">
        <f t="shared" si="1"/>
        <v>30</v>
      </c>
      <c r="I7">
        <f t="shared" si="1"/>
        <v>35</v>
      </c>
      <c r="J7">
        <f t="shared" si="1"/>
        <v>40</v>
      </c>
      <c r="K7">
        <f t="shared" si="1"/>
        <v>45</v>
      </c>
      <c r="L7">
        <f t="shared" si="1"/>
        <v>50</v>
      </c>
    </row>
    <row r="8" spans="2:12" x14ac:dyDescent="0.3">
      <c r="B8">
        <f t="shared" si="2"/>
        <v>6</v>
      </c>
      <c r="C8">
        <f t="shared" si="3"/>
        <v>6</v>
      </c>
      <c r="D8">
        <f t="shared" si="1"/>
        <v>12</v>
      </c>
      <c r="E8">
        <f t="shared" si="1"/>
        <v>18</v>
      </c>
      <c r="F8">
        <f t="shared" si="1"/>
        <v>24</v>
      </c>
      <c r="G8">
        <f t="shared" si="1"/>
        <v>30</v>
      </c>
      <c r="H8">
        <f t="shared" si="1"/>
        <v>36</v>
      </c>
      <c r="I8">
        <f t="shared" si="1"/>
        <v>42</v>
      </c>
      <c r="J8">
        <f t="shared" si="1"/>
        <v>48</v>
      </c>
      <c r="K8">
        <f t="shared" si="1"/>
        <v>54</v>
      </c>
      <c r="L8">
        <f t="shared" si="1"/>
        <v>60</v>
      </c>
    </row>
    <row r="9" spans="2:12" x14ac:dyDescent="0.3">
      <c r="B9">
        <f t="shared" si="2"/>
        <v>7</v>
      </c>
      <c r="C9">
        <f t="shared" si="3"/>
        <v>7</v>
      </c>
      <c r="D9">
        <f t="shared" si="1"/>
        <v>14</v>
      </c>
      <c r="E9">
        <f t="shared" si="1"/>
        <v>21</v>
      </c>
      <c r="F9">
        <f t="shared" si="1"/>
        <v>28</v>
      </c>
      <c r="G9">
        <f t="shared" si="1"/>
        <v>35</v>
      </c>
      <c r="H9">
        <f t="shared" si="1"/>
        <v>42</v>
      </c>
      <c r="I9">
        <f t="shared" si="1"/>
        <v>49</v>
      </c>
      <c r="J9">
        <f t="shared" si="1"/>
        <v>56</v>
      </c>
      <c r="K9">
        <f t="shared" si="1"/>
        <v>63</v>
      </c>
      <c r="L9">
        <f t="shared" si="1"/>
        <v>70</v>
      </c>
    </row>
    <row r="10" spans="2:12" x14ac:dyDescent="0.3">
      <c r="B10">
        <f t="shared" si="2"/>
        <v>8</v>
      </c>
      <c r="C10">
        <f t="shared" si="3"/>
        <v>8</v>
      </c>
      <c r="D10">
        <f t="shared" si="1"/>
        <v>16</v>
      </c>
      <c r="E10">
        <f t="shared" si="1"/>
        <v>24</v>
      </c>
      <c r="F10">
        <f t="shared" si="1"/>
        <v>32</v>
      </c>
      <c r="G10">
        <f t="shared" si="1"/>
        <v>40</v>
      </c>
      <c r="H10">
        <f t="shared" si="1"/>
        <v>48</v>
      </c>
      <c r="I10">
        <f t="shared" si="1"/>
        <v>56</v>
      </c>
      <c r="J10">
        <f t="shared" si="1"/>
        <v>64</v>
      </c>
      <c r="K10">
        <f t="shared" si="1"/>
        <v>72</v>
      </c>
      <c r="L10">
        <f t="shared" si="1"/>
        <v>80</v>
      </c>
    </row>
    <row r="11" spans="2:12" x14ac:dyDescent="0.3">
      <c r="B11">
        <f t="shared" si="2"/>
        <v>9</v>
      </c>
      <c r="C11">
        <f t="shared" si="3"/>
        <v>9</v>
      </c>
      <c r="D11">
        <f t="shared" si="1"/>
        <v>18</v>
      </c>
      <c r="E11">
        <f t="shared" si="1"/>
        <v>27</v>
      </c>
      <c r="F11">
        <f t="shared" si="1"/>
        <v>36</v>
      </c>
      <c r="G11">
        <f t="shared" si="1"/>
        <v>45</v>
      </c>
      <c r="H11">
        <f t="shared" si="1"/>
        <v>54</v>
      </c>
      <c r="I11">
        <f t="shared" si="1"/>
        <v>63</v>
      </c>
      <c r="J11">
        <f t="shared" si="1"/>
        <v>72</v>
      </c>
      <c r="K11">
        <f t="shared" si="1"/>
        <v>81</v>
      </c>
      <c r="L11">
        <f t="shared" si="1"/>
        <v>90</v>
      </c>
    </row>
    <row r="12" spans="2:12" x14ac:dyDescent="0.3">
      <c r="B12">
        <f t="shared" si="2"/>
        <v>10</v>
      </c>
      <c r="C12">
        <f t="shared" si="3"/>
        <v>10</v>
      </c>
      <c r="D12">
        <f t="shared" si="1"/>
        <v>20</v>
      </c>
      <c r="E12">
        <f t="shared" si="1"/>
        <v>30</v>
      </c>
      <c r="F12">
        <f t="shared" si="1"/>
        <v>40</v>
      </c>
      <c r="G12">
        <f t="shared" si="1"/>
        <v>50</v>
      </c>
      <c r="H12">
        <f t="shared" si="1"/>
        <v>60</v>
      </c>
      <c r="I12">
        <f t="shared" si="1"/>
        <v>70</v>
      </c>
      <c r="J12">
        <f t="shared" si="1"/>
        <v>80</v>
      </c>
      <c r="K12">
        <f t="shared" si="1"/>
        <v>90</v>
      </c>
      <c r="L12">
        <f t="shared" si="1"/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389B-5A11-4843-ACF8-9D21B2FDFE41}">
  <dimension ref="A1:G12"/>
  <sheetViews>
    <sheetView tabSelected="1" workbookViewId="0">
      <selection activeCell="L12" sqref="L12"/>
    </sheetView>
  </sheetViews>
  <sheetFormatPr defaultRowHeight="14.4" x14ac:dyDescent="0.3"/>
  <cols>
    <col min="1" max="1" width="24.33203125" customWidth="1"/>
  </cols>
  <sheetData>
    <row r="1" spans="1:7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 t="s">
        <v>13</v>
      </c>
      <c r="B2">
        <v>120</v>
      </c>
      <c r="C2">
        <v>45</v>
      </c>
      <c r="D2">
        <v>60</v>
      </c>
      <c r="E2">
        <v>210</v>
      </c>
      <c r="F2">
        <v>160</v>
      </c>
      <c r="G2">
        <v>35</v>
      </c>
    </row>
    <row r="3" spans="1:7" x14ac:dyDescent="0.3">
      <c r="A3" t="s">
        <v>14</v>
      </c>
      <c r="B3" s="8">
        <f>B2 / $F$9</f>
        <v>0.19047619047619047</v>
      </c>
      <c r="C3" s="8">
        <f t="shared" ref="C3:G3" si="0">C2 / $F$9</f>
        <v>7.1428571428571425E-2</v>
      </c>
      <c r="D3" s="8">
        <f t="shared" si="0"/>
        <v>9.5238095238095233E-2</v>
      </c>
      <c r="E3" s="8">
        <f t="shared" si="0"/>
        <v>0.33333333333333331</v>
      </c>
      <c r="F3" s="8">
        <f t="shared" si="0"/>
        <v>0.25396825396825395</v>
      </c>
      <c r="G3" s="8">
        <f t="shared" si="0"/>
        <v>5.5555555555555552E-2</v>
      </c>
    </row>
    <row r="5" spans="1:7" x14ac:dyDescent="0.3">
      <c r="A5" t="s">
        <v>6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</row>
    <row r="6" spans="1:7" x14ac:dyDescent="0.3">
      <c r="A6" t="s">
        <v>13</v>
      </c>
      <c r="B6">
        <v>20</v>
      </c>
      <c r="C6">
        <v>80</v>
      </c>
      <c r="D6">
        <v>100</v>
      </c>
      <c r="E6">
        <v>120</v>
      </c>
      <c r="F6">
        <v>90</v>
      </c>
      <c r="G6">
        <v>200</v>
      </c>
    </row>
    <row r="7" spans="1:7" x14ac:dyDescent="0.3">
      <c r="A7" t="s">
        <v>14</v>
      </c>
      <c r="B7" s="8">
        <f>B6/ $F$10</f>
        <v>3.2786885245901641E-2</v>
      </c>
      <c r="C7" s="8">
        <f t="shared" ref="C7:G7" si="1">C6/ $F$10</f>
        <v>0.13114754098360656</v>
      </c>
      <c r="D7" s="8">
        <f t="shared" si="1"/>
        <v>0.16393442622950818</v>
      </c>
      <c r="E7" s="8">
        <f t="shared" si="1"/>
        <v>0.19672131147540983</v>
      </c>
      <c r="F7" s="8">
        <f t="shared" si="1"/>
        <v>0.14754098360655737</v>
      </c>
      <c r="G7" s="8">
        <f t="shared" si="1"/>
        <v>0.32786885245901637</v>
      </c>
    </row>
    <row r="9" spans="1:7" x14ac:dyDescent="0.3">
      <c r="A9" t="s">
        <v>21</v>
      </c>
      <c r="B9">
        <f>SUM(F9+F10)</f>
        <v>1240</v>
      </c>
      <c r="F9">
        <f>SUM(padavine1)</f>
        <v>630</v>
      </c>
    </row>
    <row r="10" spans="1:7" x14ac:dyDescent="0.3">
      <c r="A10" t="s">
        <v>22</v>
      </c>
      <c r="F10">
        <f>SUM(Padavine2)</f>
        <v>610</v>
      </c>
    </row>
    <row r="11" spans="1:7" x14ac:dyDescent="0.3">
      <c r="A11" t="s">
        <v>23</v>
      </c>
      <c r="F11">
        <f>SUM(F9+F10)</f>
        <v>1240</v>
      </c>
    </row>
    <row r="12" spans="1:7" x14ac:dyDescent="0.3">
      <c r="A12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4</vt:i4>
      </vt:variant>
      <vt:variant>
        <vt:lpstr>Imenovani obsegi</vt:lpstr>
      </vt:variant>
      <vt:variant>
        <vt:i4>4</vt:i4>
      </vt:variant>
    </vt:vector>
  </HeadingPairs>
  <TitlesOfParts>
    <vt:vector size="8" baseType="lpstr">
      <vt:lpstr>obresti</vt:lpstr>
      <vt:lpstr>barva</vt:lpstr>
      <vt:lpstr>množenje</vt:lpstr>
      <vt:lpstr>padavine</vt:lpstr>
      <vt:lpstr>Delež1</vt:lpstr>
      <vt:lpstr>Delež2</vt:lpstr>
      <vt:lpstr>padavine1</vt:lpstr>
      <vt:lpstr>Padavine2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Košmerl</dc:creator>
  <cp:lastModifiedBy>Ida Košmerl</cp:lastModifiedBy>
  <dcterms:created xsi:type="dcterms:W3CDTF">2025-12-12T21:31:52Z</dcterms:created>
  <dcterms:modified xsi:type="dcterms:W3CDTF">2025-12-12T23:04:12Z</dcterms:modified>
</cp:coreProperties>
</file>